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Excel\Course 3\Week 6\"/>
    </mc:Choice>
  </mc:AlternateContent>
  <xr:revisionPtr revIDLastSave="0" documentId="13_ncr:1_{C6DAAF14-563D-410D-9E73-C324A3C55D62}" xr6:coauthVersionLast="45" xr6:coauthVersionMax="45" xr10:uidLastSave="{00000000-0000-0000-0000-000000000000}"/>
  <bookViews>
    <workbookView xWindow="-120" yWindow="-120" windowWidth="20730" windowHeight="11310" tabRatio="869" activeTab="4" xr2:uid="{00000000-000D-0000-FFFF-FFFF00000000}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</sheets>
  <definedNames>
    <definedName name="Customer_Name">Table!$C$2:$C$4</definedName>
    <definedName name="data_customer_name">'Data Entry'!$C$7</definedName>
    <definedName name="Data_date">'Data Entry'!$C$5</definedName>
    <definedName name="data_fee">'Data Entry'!$C$9</definedName>
    <definedName name="data_hours">'Data Entry'!$C$8</definedName>
    <definedName name="Date">Table!$B$2:$B$4</definedName>
    <definedName name="Discount">Table!$G$2:$G$4</definedName>
    <definedName name="Fee_per_hour">Table!$E$2:$E$4</definedName>
    <definedName name="Hours_of_Service_Provided">Table!$D$2:$D$4</definedName>
    <definedName name="Total">Table!$F$2:$F$4</definedName>
    <definedName name="Total_Amount_Due">Table!$H$2:$H$4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3" l="1"/>
  <c r="D4" i="23"/>
  <c r="G4" i="23" s="1"/>
  <c r="C4" i="23"/>
  <c r="B4" i="23"/>
  <c r="G2" i="23"/>
  <c r="G3" i="23"/>
  <c r="F2" i="23"/>
  <c r="H2" i="23" s="1"/>
  <c r="F3" i="23"/>
  <c r="F4" i="23" l="1"/>
  <c r="H4" i="23" s="1"/>
  <c r="H3" i="23"/>
  <c r="J2" i="23"/>
  <c r="B1" i="1" l="1"/>
</calcChain>
</file>

<file path=xl/sharedStrings.xml><?xml version="1.0" encoding="utf-8"?>
<sst xmlns="http://schemas.openxmlformats.org/spreadsheetml/2006/main" count="69" uniqueCount="59">
  <si>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</si>
  <si>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</si>
  <si>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</si>
  <si>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</si>
  <si>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</si>
  <si>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</si>
  <si>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</si>
  <si>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</si>
  <si>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</si>
  <si>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</si>
  <si>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</si>
  <si>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</si>
  <si>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</si>
  <si>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</si>
  <si>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</si>
  <si>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</si>
  <si>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</si>
  <si>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</si>
  <si>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</si>
  <si>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</si>
  <si>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</si>
  <si>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</si>
  <si>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</si>
  <si>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</si>
  <si>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</si>
  <si>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</si>
  <si>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</si>
  <si>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</si>
  <si>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</si>
  <si>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</si>
  <si>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</si>
  <si>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</si>
  <si>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</si>
  <si>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</si>
  <si>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</si>
  <si>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</si>
  <si>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</si>
  <si>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</si>
  <si>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</si>
  <si>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</si>
  <si>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</si>
  <si>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</si>
  <si>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</si>
  <si>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</si>
  <si>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</si>
  <si>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</si>
  <si>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</si>
  <si>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</si>
  <si>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</si>
  <si>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</si>
  <si>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</si>
  <si>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</si>
  <si>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</si>
  <si>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</si>
  <si>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</si>
  <si>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</si>
  <si>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</si>
  <si>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</si>
  <si>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t>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</si>
</sst>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68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14" fontId="14" fillId="0" borderId="1" xfId="0" applyNumberFormat="1" applyFont="1" applyBorder="1"/>
    <xf numFmtId="0" fontId="14" fillId="0" borderId="0" xfId="0" applyFont="1"/>
    <xf numFmtId="0" fontId="14" fillId="0" borderId="1" xfId="0" applyFont="1" applyBorder="1"/>
    <xf numFmtId="0" fontId="14" fillId="0" borderId="1" xfId="1" applyNumberFormat="1" applyFont="1" applyBorder="1"/>
    <xf numFmtId="164" fontId="14" fillId="0" borderId="1" xfId="1" applyFont="1" applyBorder="1"/>
    <xf numFmtId="164" fontId="0" fillId="0" borderId="0" xfId="1" applyFont="1"/>
    <xf numFmtId="0" fontId="11" fillId="5" borderId="13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2" xfId="0" applyFont="1" applyFill="1" applyBorder="1"/>
    <xf numFmtId="0" fontId="13" fillId="0" borderId="10" xfId="0" applyFont="1" applyFill="1" applyBorder="1"/>
    <xf numFmtId="0" fontId="13" fillId="4" borderId="10" xfId="0" applyFont="1" applyFill="1" applyBorder="1"/>
    <xf numFmtId="0" fontId="15" fillId="0" borderId="13" xfId="0" applyFont="1" applyBorder="1"/>
    <xf numFmtId="14" fontId="15" fillId="0" borderId="2" xfId="0" applyNumberFormat="1" applyFont="1" applyBorder="1"/>
    <xf numFmtId="0" fontId="15" fillId="0" borderId="2" xfId="0" applyFont="1" applyBorder="1"/>
    <xf numFmtId="164" fontId="15" fillId="0" borderId="2" xfId="1" applyFont="1" applyBorder="1"/>
    <xf numFmtId="164" fontId="15" fillId="0" borderId="11" xfId="1" applyFont="1" applyBorder="1"/>
    <xf numFmtId="164" fontId="15" fillId="0" borderId="12" xfId="1" applyFont="1" applyBorder="1"/>
    <xf numFmtId="14" fontId="0" fillId="0" borderId="0" xfId="0" applyNumberFormat="1"/>
    <xf numFmtId="164" fontId="0" fillId="0" borderId="10" xfId="1" applyFont="1" applyBorder="1"/>
    <xf numFmtId="16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10" fontId="15" fillId="0" borderId="2" xfId="1" applyNumberFormat="1" applyFont="1" applyBorder="1"/>
    <xf numFmtId="164" fontId="15" fillId="0" borderId="2" xfId="1" applyNumberFormat="1" applyFont="1" applyBorder="1"/>
    <xf numFmtId="164" fontId="15" fillId="0" borderId="11" xfId="1" applyNumberFormat="1" applyFont="1" applyBorder="1"/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64" fontId="15" fillId="7" borderId="14" xfId="1" applyNumberFormat="1" applyFont="1" applyFill="1" applyBorder="1"/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241300</xdr:colOff>
      <xdr:row>4</xdr:row>
      <xdr:rowOff>200025</xdr:rowOff>
    </xdr:from>
    <xdr:to>
      <xdr:col>6</xdr:col>
      <xdr:colOff>444500</xdr:colOff>
      <xdr:row>6</xdr:row>
      <xdr:rowOff>215900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4B8303-78B4-4BD2-B5D7-133A9D8D51E0}"/>
            </a:ext>
          </a:extLst>
        </xdr:cNvPr>
        <xdr:cNvSpPr/>
      </xdr:nvSpPr>
      <xdr:spPr>
        <a:xfrm>
          <a:off x="4946650" y="1228725"/>
          <a:ext cx="1422400" cy="549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Insert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ABE820-E913-4C59-BFE9-259A03D9DC50}" name="Table1" displayName="Table1" ref="A1:H4" totalsRowShown="0" headerRowDxfId="9" dataDxfId="8" dataCellStyle="Currency">
  <autoFilter ref="A1:H4" xr:uid="{275F7E26-1315-4FB0-9B12-394A87CB193C}"/>
  <tableColumns count="8">
    <tableColumn id="1" xr3:uid="{B70B28B5-F621-4383-9C43-92C5F9A73BDC}" name="Invoice Number" dataDxfId="7"/>
    <tableColumn id="2" xr3:uid="{8E0AB29F-C540-4979-A3A7-87D02C44049E}" name="Date" dataDxfId="6"/>
    <tableColumn id="3" xr3:uid="{39251F25-E21C-4FB1-9214-808385068CCB}" name="Customer Name" dataDxfId="5"/>
    <tableColumn id="4" xr3:uid="{FB7A9EF4-C87D-4496-9B33-127BD94C5701}" name="Hours of Service Provided" dataDxfId="4"/>
    <tableColumn id="5" xr3:uid="{21619B5A-4C3B-4263-9750-B0AF9F52109B}" name="Fee per hour" dataDxfId="3" dataCellStyle="Currency"/>
    <tableColumn id="6" xr3:uid="{FE1639C1-403E-4ECB-B7C4-2FD66E2425DA}" name="Total" dataDxfId="2" dataCellStyle="Currency"/>
    <tableColumn id="7" xr3:uid="{E4BDCD21-19CB-484C-9819-2D50F5F0B4C0}" name="Discount" dataDxfId="1" dataCellStyle="Currency"/>
    <tableColumn id="8" xr3:uid="{F855A3A8-3C84-4DDA-8D9C-B8EB1A566875}" name="Total Amount Due" dataDxfId="0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6"/>
  <sheetViews>
    <sheetView topLeftCell="A10" zoomScaleNormal="100" workbookViewId="0">
      <selection activeCell="H6" sqref="H6:N6"/>
    </sheetView>
  </sheetViews>
  <sheetFormatPr defaultColWidth="9.85546875" defaultRowHeight="15"/>
  <cols>
    <col min="1" max="1" width="9.85546875" style="36"/>
    <col min="2" max="2" width="12.140625" style="36" customWidth="1"/>
    <col min="3" max="3" width="15.42578125" style="36" bestFit="1" customWidth="1"/>
    <col min="4" max="4" width="23.7109375" style="36" customWidth="1"/>
    <col min="5" max="5" width="12.7109375" style="36" customWidth="1"/>
    <col min="6" max="7" width="9.85546875" style="36"/>
    <col min="8" max="11" width="12.28515625" style="36" customWidth="1"/>
    <col min="12" max="12" width="39.5703125" style="36" customWidth="1"/>
    <col min="13" max="15" width="12.28515625" style="36" customWidth="1"/>
    <col min="16" max="16384" width="9.85546875" style="36"/>
  </cols>
  <sheetData>
    <row r="1" spans="1:15">
      <c r="G1" s="37"/>
    </row>
    <row r="2" spans="1:15" ht="34.5">
      <c r="G2" s="56" t="s">
        <v>13</v>
      </c>
      <c r="H2" s="57"/>
      <c r="I2" s="57"/>
      <c r="J2" s="57"/>
      <c r="K2" s="57"/>
      <c r="L2" s="57"/>
      <c r="M2" s="57"/>
      <c r="N2" s="57"/>
      <c r="O2" s="57"/>
    </row>
    <row r="3" spans="1:15">
      <c r="G3" s="37"/>
    </row>
    <row r="4" spans="1:15" ht="30">
      <c r="G4" s="58" t="s">
        <v>14</v>
      </c>
      <c r="H4" s="59"/>
      <c r="I4" s="59"/>
      <c r="J4" s="59"/>
      <c r="K4" s="59"/>
      <c r="L4" s="59"/>
      <c r="M4" s="59"/>
      <c r="N4" s="59"/>
      <c r="O4" s="59"/>
    </row>
    <row r="5" spans="1:15" ht="15.75" thickBot="1">
      <c r="G5" s="37"/>
    </row>
    <row r="6" spans="1:15" ht="32.25" thickBot="1">
      <c r="G6" s="37"/>
      <c r="H6" s="60" t="s">
        <v>12</v>
      </c>
      <c r="I6" s="61"/>
      <c r="J6" s="61"/>
      <c r="K6" s="61"/>
      <c r="L6" s="61"/>
      <c r="M6" s="61"/>
      <c r="N6" s="62"/>
      <c r="O6" s="38"/>
    </row>
    <row r="7" spans="1:15" s="39" customFormat="1"/>
    <row r="8" spans="1:15" s="39" customFormat="1"/>
    <row r="9" spans="1:15" s="39" customFormat="1"/>
    <row r="10" spans="1:15" ht="18.75" thickBot="1">
      <c r="A10" s="40" t="s">
        <v>15</v>
      </c>
      <c r="B10" s="40"/>
      <c r="C10" s="40"/>
      <c r="D10" s="40"/>
      <c r="E10" s="40"/>
      <c r="F10" s="40"/>
      <c r="G10" s="38"/>
      <c r="H10" s="39"/>
      <c r="I10" s="39"/>
      <c r="J10" s="39"/>
      <c r="K10" s="39"/>
      <c r="L10" s="39"/>
      <c r="M10" s="39"/>
      <c r="N10" s="39"/>
      <c r="O10" s="39"/>
    </row>
    <row r="11" spans="1:15" ht="12.6" customHeight="1" thickTop="1">
      <c r="A11" s="41"/>
      <c r="B11" s="41"/>
      <c r="C11" s="41"/>
      <c r="D11" s="41"/>
      <c r="E11" s="41"/>
      <c r="F11" s="41"/>
      <c r="G11" s="41"/>
      <c r="H11" s="39"/>
      <c r="I11" s="39"/>
      <c r="J11" s="39"/>
      <c r="K11" s="39"/>
      <c r="L11" s="39"/>
      <c r="M11" s="39"/>
      <c r="N11" s="39"/>
      <c r="O11" s="39"/>
    </row>
    <row r="12" spans="1:15" ht="63.6" customHeight="1">
      <c r="A12" s="63" t="s">
        <v>55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</row>
    <row r="13" spans="1:15" s="39" customFormat="1" ht="9" customHeight="1"/>
    <row r="14" spans="1:15" s="39" customFormat="1" ht="5.45" customHeight="1"/>
    <row r="15" spans="1:15" ht="18.75" thickBot="1">
      <c r="A15" s="40" t="s">
        <v>11</v>
      </c>
      <c r="B15" s="40"/>
      <c r="C15" s="40"/>
      <c r="D15" s="40"/>
      <c r="E15" s="40"/>
      <c r="F15" s="40"/>
      <c r="G15" s="38"/>
      <c r="H15" s="42"/>
      <c r="L15" s="43"/>
    </row>
    <row r="16" spans="1:15" ht="10.5" customHeight="1" thickTop="1">
      <c r="A16" s="41"/>
      <c r="B16" s="41"/>
      <c r="C16" s="41"/>
      <c r="D16" s="41"/>
      <c r="E16" s="41"/>
      <c r="F16" s="41"/>
      <c r="G16" s="41"/>
      <c r="H16" s="42"/>
    </row>
    <row r="17" spans="1:2" s="39" customFormat="1">
      <c r="A17" s="39" t="s">
        <v>39</v>
      </c>
    </row>
    <row r="18" spans="1:2" s="39" customFormat="1"/>
    <row r="19" spans="1:2" s="39" customFormat="1">
      <c r="A19" s="39" t="s">
        <v>42</v>
      </c>
    </row>
    <row r="20" spans="1:2" s="39" customFormat="1">
      <c r="A20" s="36" t="s">
        <v>41</v>
      </c>
    </row>
    <row r="21" spans="1:2" s="39" customFormat="1">
      <c r="A21" s="39" t="s">
        <v>40</v>
      </c>
    </row>
    <row r="22" spans="1:2" s="39" customFormat="1"/>
    <row r="23" spans="1:2" s="39" customFormat="1"/>
    <row r="24" spans="1:2" s="39" customFormat="1">
      <c r="A24" s="39" t="s">
        <v>43</v>
      </c>
    </row>
    <row r="25" spans="1:2" s="39" customFormat="1"/>
    <row r="26" spans="1:2">
      <c r="A26" s="36">
        <v>1</v>
      </c>
      <c r="B26" s="44" t="s">
        <v>57</v>
      </c>
    </row>
    <row r="27" spans="1:2">
      <c r="A27" s="36">
        <v>2</v>
      </c>
      <c r="B27" s="44" t="s">
        <v>45</v>
      </c>
    </row>
    <row r="28" spans="1:2">
      <c r="A28" s="36">
        <v>3</v>
      </c>
      <c r="B28" s="44" t="s">
        <v>56</v>
      </c>
    </row>
    <row r="29" spans="1:2">
      <c r="A29" s="36">
        <v>4</v>
      </c>
      <c r="B29" s="44" t="s">
        <v>48</v>
      </c>
    </row>
    <row r="30" spans="1:2">
      <c r="A30" s="36">
        <v>5</v>
      </c>
      <c r="B30" s="44" t="s">
        <v>54</v>
      </c>
    </row>
    <row r="31" spans="1:2">
      <c r="A31" s="36">
        <v>6</v>
      </c>
      <c r="B31" s="44" t="s">
        <v>46</v>
      </c>
    </row>
    <row r="32" spans="1:2">
      <c r="A32" s="36">
        <v>7</v>
      </c>
      <c r="B32" s="44" t="s">
        <v>47</v>
      </c>
    </row>
    <row r="33" spans="1:5">
      <c r="A33" s="36">
        <v>8</v>
      </c>
      <c r="B33" s="44" t="s">
        <v>53</v>
      </c>
    </row>
    <row r="34" spans="1:5">
      <c r="A34" s="36">
        <v>9</v>
      </c>
      <c r="B34" s="44" t="s">
        <v>49</v>
      </c>
    </row>
    <row r="35" spans="1:5">
      <c r="A35" s="36">
        <v>10</v>
      </c>
      <c r="B35" s="44" t="s">
        <v>50</v>
      </c>
    </row>
    <row r="36" spans="1:5">
      <c r="A36" s="45"/>
    </row>
    <row r="37" spans="1:5">
      <c r="A37" s="45"/>
      <c r="B37" s="46" t="s">
        <v>16</v>
      </c>
      <c r="C37" s="46" t="s">
        <v>17</v>
      </c>
      <c r="D37" s="46" t="s">
        <v>28</v>
      </c>
      <c r="E37" s="46" t="s">
        <v>29</v>
      </c>
    </row>
    <row r="38" spans="1:5">
      <c r="A38" s="45"/>
      <c r="B38" s="47">
        <v>42592</v>
      </c>
      <c r="C38" s="48" t="s">
        <v>34</v>
      </c>
      <c r="D38" s="49">
        <v>30</v>
      </c>
      <c r="E38" s="50">
        <v>55</v>
      </c>
    </row>
    <row r="39" spans="1:5">
      <c r="A39" s="45"/>
      <c r="B39" s="47">
        <v>42603</v>
      </c>
      <c r="C39" s="48" t="s">
        <v>35</v>
      </c>
      <c r="D39" s="49">
        <v>60</v>
      </c>
      <c r="E39" s="50">
        <v>52</v>
      </c>
    </row>
    <row r="40" spans="1:5">
      <c r="A40" s="45"/>
      <c r="B40" s="47">
        <v>42611</v>
      </c>
      <c r="C40" s="48" t="s">
        <v>36</v>
      </c>
      <c r="D40" s="49">
        <v>20</v>
      </c>
      <c r="E40" s="50">
        <v>54</v>
      </c>
    </row>
    <row r="41" spans="1:5">
      <c r="B41" s="51">
        <v>42614</v>
      </c>
      <c r="C41" s="48" t="s">
        <v>37</v>
      </c>
      <c r="D41" s="49">
        <v>9</v>
      </c>
      <c r="E41" s="50">
        <v>51</v>
      </c>
    </row>
    <row r="42" spans="1:5" s="39" customFormat="1"/>
    <row r="43" spans="1:5" s="39" customFormat="1">
      <c r="A43" s="39">
        <v>11</v>
      </c>
      <c r="B43" s="44" t="s">
        <v>51</v>
      </c>
    </row>
    <row r="44" spans="1:5" s="39" customFormat="1">
      <c r="A44" s="39">
        <v>12</v>
      </c>
      <c r="B44" s="44" t="s">
        <v>52</v>
      </c>
    </row>
    <row r="45" spans="1:5" s="39" customFormat="1"/>
    <row r="46" spans="1:5" s="39" customFormat="1">
      <c r="A46" s="39" t="s">
        <v>10</v>
      </c>
    </row>
    <row r="47" spans="1:5" s="39" customFormat="1"/>
    <row r="50" spans="1:1">
      <c r="A50" s="52"/>
    </row>
    <row r="51" spans="1:1">
      <c r="A51" s="45"/>
    </row>
    <row r="52" spans="1:1">
      <c r="A52" s="45"/>
    </row>
    <row r="53" spans="1:1">
      <c r="A53" s="52"/>
    </row>
    <row r="54" spans="1:1">
      <c r="A54" s="52"/>
    </row>
    <row r="55" spans="1:1">
      <c r="A55" s="52"/>
    </row>
    <row r="56" spans="1:1">
      <c r="A56" s="52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zoomScaleNormal="100" workbookViewId="0">
      <selection activeCell="H9" sqref="H9"/>
    </sheetView>
  </sheetViews>
  <sheetFormatPr defaultRowHeight="15"/>
  <cols>
    <col min="2" max="2" width="34.5703125" bestFit="1" customWidth="1"/>
    <col min="3" max="3" width="17.7109375" customWidth="1"/>
  </cols>
  <sheetData>
    <row r="2" spans="2:3" ht="36">
      <c r="B2" s="64" t="s">
        <v>38</v>
      </c>
      <c r="C2" s="64"/>
    </row>
    <row r="5" spans="2:3" ht="21">
      <c r="B5" s="13" t="s">
        <v>16</v>
      </c>
      <c r="C5" s="14">
        <v>42618</v>
      </c>
    </row>
    <row r="6" spans="2:3" ht="21">
      <c r="B6" s="15"/>
      <c r="C6" s="15"/>
    </row>
    <row r="7" spans="2:3" ht="21">
      <c r="B7" s="13" t="s">
        <v>17</v>
      </c>
      <c r="C7" s="16" t="s">
        <v>58</v>
      </c>
    </row>
    <row r="8" spans="2:3" ht="21">
      <c r="B8" s="13" t="s">
        <v>28</v>
      </c>
      <c r="C8" s="17">
        <v>66</v>
      </c>
    </row>
    <row r="9" spans="2:3" ht="21">
      <c r="B9" s="13" t="s">
        <v>29</v>
      </c>
      <c r="C9" s="18">
        <v>200</v>
      </c>
    </row>
    <row r="10" spans="2:3">
      <c r="C10" s="19"/>
    </row>
    <row r="11" spans="2:3">
      <c r="C11" s="19"/>
    </row>
    <row r="12" spans="2:3">
      <c r="C12" s="19"/>
    </row>
    <row r="13" spans="2:3">
      <c r="C13" s="19"/>
    </row>
    <row r="14" spans="2:3">
      <c r="C14" s="19"/>
    </row>
    <row r="15" spans="2:3">
      <c r="C15" s="19"/>
    </row>
  </sheetData>
  <mergeCells count="1">
    <mergeCell ref="B2:C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0"/>
  <sheetViews>
    <sheetView workbookViewId="0">
      <selection activeCell="F10" sqref="F10"/>
    </sheetView>
  </sheetViews>
  <sheetFormatPr defaultRowHeight="15"/>
  <cols>
    <col min="1" max="1" width="18.140625" customWidth="1"/>
    <col min="2" max="2" width="13" customWidth="1"/>
    <col min="3" max="3" width="23.42578125" customWidth="1"/>
    <col min="4" max="4" width="25.42578125" customWidth="1"/>
    <col min="5" max="5" width="19" customWidth="1"/>
    <col min="6" max="6" width="16" bestFit="1" customWidth="1"/>
    <col min="7" max="7" width="14.140625" customWidth="1"/>
    <col min="8" max="8" width="26.140625" customWidth="1"/>
    <col min="10" max="10" width="19.42578125" bestFit="1" customWidth="1"/>
  </cols>
  <sheetData>
    <row r="1" spans="1:10" ht="21">
      <c r="A1" s="20" t="s">
        <v>30</v>
      </c>
      <c r="B1" s="21" t="s">
        <v>16</v>
      </c>
      <c r="C1" s="21" t="s">
        <v>17</v>
      </c>
      <c r="D1" s="22" t="s">
        <v>28</v>
      </c>
      <c r="E1" s="21" t="s">
        <v>29</v>
      </c>
      <c r="F1" s="23" t="s">
        <v>21</v>
      </c>
      <c r="G1" s="23" t="s">
        <v>31</v>
      </c>
      <c r="H1" s="24" t="s">
        <v>32</v>
      </c>
      <c r="I1" s="25"/>
      <c r="J1" s="26" t="s">
        <v>33</v>
      </c>
    </row>
    <row r="2" spans="1:10" ht="23.25">
      <c r="A2" s="27">
        <v>100</v>
      </c>
      <c r="B2" s="28">
        <v>42583</v>
      </c>
      <c r="C2" s="29" t="s">
        <v>22</v>
      </c>
      <c r="D2" s="29">
        <v>20</v>
      </c>
      <c r="E2" s="30">
        <v>50</v>
      </c>
      <c r="F2" s="30">
        <f>Hours_of_Service_Provided*Fee_per_hour</f>
        <v>1000</v>
      </c>
      <c r="G2" s="53">
        <f>IF(Hours_of_Service_Provided&gt;10,5%,0)</f>
        <v>0.05</v>
      </c>
      <c r="H2" s="31">
        <f>Total*(1-Discount)</f>
        <v>950</v>
      </c>
      <c r="I2" s="32"/>
      <c r="J2" s="35">
        <f>SUM(Total_Amount_Due)</f>
        <v>13898</v>
      </c>
    </row>
    <row r="3" spans="1:10" ht="18.75">
      <c r="A3" s="27">
        <v>101</v>
      </c>
      <c r="B3" s="28">
        <v>42584</v>
      </c>
      <c r="C3" s="29" t="s">
        <v>35</v>
      </c>
      <c r="D3" s="29">
        <v>8</v>
      </c>
      <c r="E3" s="30">
        <v>51</v>
      </c>
      <c r="F3" s="30">
        <f>Hours_of_Service_Provided*Fee_per_hour</f>
        <v>408</v>
      </c>
      <c r="G3" s="53">
        <f>IF(Hours_of_Service_Provided&gt;10,5%,0)</f>
        <v>0</v>
      </c>
      <c r="H3" s="31">
        <f>Total*(1-Discount)</f>
        <v>408</v>
      </c>
    </row>
    <row r="4" spans="1:10" ht="18.75">
      <c r="A4" s="27"/>
      <c r="B4" s="28">
        <f>Data_date</f>
        <v>42618</v>
      </c>
      <c r="C4" s="29" t="str">
        <f>data_customer_name</f>
        <v>sam</v>
      </c>
      <c r="D4" s="29">
        <f>data_hours</f>
        <v>66</v>
      </c>
      <c r="E4" s="30">
        <f>data_fee</f>
        <v>200</v>
      </c>
      <c r="F4" s="54">
        <f>Hours_of_Service_Provided*Fee_per_hour</f>
        <v>13200</v>
      </c>
      <c r="G4" s="53">
        <f>IF(Hours_of_Service_Provided&gt;10,5%,0)</f>
        <v>0.05</v>
      </c>
      <c r="H4" s="55">
        <f>Total*(1-Discount)</f>
        <v>12540</v>
      </c>
    </row>
    <row r="10" spans="1:10" ht="18.75">
      <c r="F10" s="6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tabSelected="1" workbookViewId="0"/>
  </sheetViews>
  <sheetFormatPr defaultRowHeight="15"/>
  <cols>
    <col min="1" max="3" width="18.85546875" customWidth="1"/>
  </cols>
  <sheetData>
    <row r="1" spans="1:3" ht="18.75">
      <c r="A1" s="8" t="s">
        <v>18</v>
      </c>
    </row>
    <row r="2" spans="1:3">
      <c r="A2" s="7" t="s">
        <v>27</v>
      </c>
    </row>
    <row r="3" spans="1:3">
      <c r="A3" s="7" t="s">
        <v>23</v>
      </c>
    </row>
    <row r="4" spans="1:3">
      <c r="A4" s="7" t="s">
        <v>24</v>
      </c>
      <c r="B4" s="33"/>
    </row>
    <row r="6" spans="1:3" ht="15.75">
      <c r="A6" s="12" t="s">
        <v>19</v>
      </c>
      <c r="B6" s="12" t="s">
        <v>20</v>
      </c>
      <c r="C6" s="12" t="s">
        <v>21</v>
      </c>
    </row>
    <row r="7" spans="1:3">
      <c r="A7" s="9"/>
      <c r="B7" s="9"/>
      <c r="C7" s="34"/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65" t="s">
        <v>25</v>
      </c>
      <c r="B14" s="65"/>
      <c r="C14" s="11"/>
    </row>
    <row r="15" spans="1:3">
      <c r="A15" s="66" t="s">
        <v>44</v>
      </c>
      <c r="B15" s="66"/>
      <c r="C15" s="11"/>
    </row>
    <row r="16" spans="1:3">
      <c r="A16" s="65" t="s">
        <v>26</v>
      </c>
      <c r="B16" s="65"/>
      <c r="C16" s="11"/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Instructions </vt:lpstr>
      <vt:lpstr>Instruction</vt:lpstr>
      <vt:lpstr>Data Entry</vt:lpstr>
      <vt:lpstr>Table</vt:lpstr>
      <vt:lpstr>Invoice Template</vt:lpstr>
      <vt:lpstr>Customer_Name</vt:lpstr>
      <vt:lpstr>data_customer_name</vt:lpstr>
      <vt:lpstr>Data_date</vt:lpstr>
      <vt:lpstr>data_fee</vt:lpstr>
      <vt:lpstr>data_hours</vt:lpstr>
      <vt:lpstr>Date</vt:lpstr>
      <vt:lpstr>Discount</vt:lpstr>
      <vt:lpstr>Fee_per_hour</vt:lpstr>
      <vt:lpstr>Hours_of_Service_Provided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Windows User</cp:lastModifiedBy>
  <dcterms:created xsi:type="dcterms:W3CDTF">2016-08-30T01:18:10Z</dcterms:created>
  <dcterms:modified xsi:type="dcterms:W3CDTF">2020-05-01T21:35:46Z</dcterms:modified>
</cp:coreProperties>
</file>